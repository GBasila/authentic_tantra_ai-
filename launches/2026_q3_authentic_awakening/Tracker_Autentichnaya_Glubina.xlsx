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Контакты" sheetId="2" state="visible" r:id="rId4"/>
    <sheet name="Воронк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<sst xmlns="http://schemas.openxmlformats.org/spreadsheetml/2006/main" count="69" uniqueCount="69">
  <si>
    <t xml:space="preserve">Контакт-трекер · Аутентичная Глубина · Поток 1</t>
  </si>
  <si>
    <t xml:space="preserve">КАК ПОЛЬЗОВАТЬСЯ</t>
  </si>
  <si>
    <t xml:space="preserve">1. Перейди на вкладку «Контакты» и заполни 50+ имён твоей тёплой базы.</t>
  </si>
  <si>
    <t xml:space="preserve">2. Категории контактов:</t>
  </si>
  <si>
    <t xml:space="preserve">   A · Горячий  — была на офлайн-группе/VIP/активна, помнит тебя</t>
  </si>
  <si>
    <t xml:space="preserve">   B · Тёплый   — была однажды или давно, но был контакт</t>
  </si>
  <si>
    <t xml:space="preserve">   C · Спящий   — давно молчит, но был интерес</t>
  </si>
  <si>
    <t xml:space="preserve">   D · Lead Magnet — подписалась на «5 дней возвращения» за последние 30 дней</t>
  </si>
  <si>
    <t xml:space="preserve">3. Шаблон сообщения:</t>
  </si>
  <si>
    <t xml:space="preserve">   Открой /launches/2026_q3_authentic_awakening/personal_invitations.md</t>
  </si>
  <si>
    <t xml:space="preserve">   Выбери вариант A/B/C/D по категории контакта.</t>
  </si>
  <si>
    <t xml:space="preserve">   В колонке «Шаблон» отметь какой использовала.</t>
  </si>
  <si>
    <t xml:space="preserve">4. После отправки — отметь «Отправлено» в статусе. Дата автоматически не пишется, заполни.</t>
  </si>
  <si>
    <t xml:space="preserve">5. Когда человек ответит — обнови статус («Ответила»). Дальше по воронке.</t>
  </si>
  <si>
    <t xml:space="preserve">6. Вкладка «Воронка» — автоматически считает где ты находишься.</t>
  </si>
  <si>
    <t xml:space="preserve">ДЕДЛАЙНЫ</t>
  </si>
  <si>
    <t xml:space="preserve">Неделя 1 (подготовка): заполнить минимум 50 контактов</t>
  </si>
  <si>
    <t xml:space="preserve">Неделя 2 (прогрев): отправить категории A — все</t>
  </si>
  <si>
    <t xml:space="preserve">Неделя 3 (эфир): отправить категории B + продолжить отвечать на A</t>
  </si>
  <si>
    <t xml:space="preserve">Неделя 4 (закрытие): финальные напоминания, отправить C + D</t>
  </si>
  <si>
    <t xml:space="preserve">Один контакт = одно сообщение в день. Не отвечает 3 дня → мягкий follow-up.</t>
  </si>
  <si>
    <t xml:space="preserve">Не отвечает 7 → отпустить, вернуться через 2 месяца.</t>
  </si>
  <si>
    <t xml:space="preserve">ОЖИДАЕМЫЕ КОНВЕРСИИ (бенчмарки)</t>
  </si>
  <si>
    <t xml:space="preserve">Отвечают: 50-65% от отправленных</t>
  </si>
  <si>
    <t xml:space="preserve">Записываются на МК: 60-80% от ответивших</t>
  </si>
  <si>
    <t xml:space="preserve">Приходят на МК: 60-70% от записавшихся</t>
  </si>
  <si>
    <t xml:space="preserve">Оплачивают курс: 30-50% от пришедших на МК</t>
  </si>
  <si>
    <t xml:space="preserve">При 50 контактах и средних конверсиях: 50 → 30 → 20 → 13 → 5 учениц.</t>
  </si>
  <si>
    <t xml:space="preserve">При 80 контактах: 80 → 50 → 35 → 22 → 10 учениц (попадаешь в цель).</t>
  </si>
  <si>
    <t xml:space="preserve">#</t>
  </si>
  <si>
    <t xml:space="preserve">Имя</t>
  </si>
  <si>
    <t xml:space="preserve">Контакт (TG / IG / email)</t>
  </si>
  <si>
    <t xml:space="preserve">Категория</t>
  </si>
  <si>
    <t xml:space="preserve">Деталь для упоминания</t>
  </si>
  <si>
    <t xml:space="preserve">Шаблон (A/B/C/D)</t>
  </si>
  <si>
    <t xml:space="preserve">Дата отправки</t>
  </si>
  <si>
    <t xml:space="preserve">Дата ответа</t>
  </si>
  <si>
    <t xml:space="preserve">Статус</t>
  </si>
  <si>
    <t xml:space="preserve">Заметки</t>
  </si>
  <si>
    <t xml:space="preserve">Анна Петрова</t>
  </si>
  <si>
    <t xml:space="preserve">@annapetrova</t>
  </si>
  <si>
    <t xml:space="preserve">A — Горячий</t>
  </si>
  <si>
    <t xml:space="preserve">Январская офлайн-группа · открылась в практике с тазом</t>
  </si>
  <si>
    <t xml:space="preserve">A</t>
  </si>
  <si>
    <t xml:space="preserve">Не отправлено</t>
  </si>
  <si>
    <t xml:space="preserve">Спросить про текущее состояние</t>
  </si>
  <si>
    <t xml:space="preserve">Цели запуска</t>
  </si>
  <si>
    <t xml:space="preserve">Минимум для запуска</t>
  </si>
  <si>
    <t xml:space="preserve">учениц × €450 = €5 400</t>
  </si>
  <si>
    <t xml:space="preserve">Цель потока</t>
  </si>
  <si>
    <t xml:space="preserve">учениц × €450 = €6 750</t>
  </si>
  <si>
    <t xml:space="preserve">Размер базы (входящая)</t>
  </si>
  <si>
    <t xml:space="preserve">тёплых контактов минимум</t>
  </si>
  <si>
    <t xml:space="preserve">Воронка движения</t>
  </si>
  <si>
    <t xml:space="preserve">Этап</t>
  </si>
  <si>
    <t xml:space="preserve">Кол-во</t>
  </si>
  <si>
    <t xml:space="preserve">Конверсия</t>
  </si>
  <si>
    <t xml:space="preserve">Всего в базе</t>
  </si>
  <si>
    <t xml:space="preserve">Отправлено</t>
  </si>
  <si>
    <t xml:space="preserve">Ответили</t>
  </si>
  <si>
    <t xml:space="preserve">Записались на МК</t>
  </si>
  <si>
    <t xml:space="preserve">Пришли на эфир</t>
  </si>
  <si>
    <t xml:space="preserve">Оплатили</t>
  </si>
  <si>
    <t xml:space="preserve">Отказались</t>
  </si>
  <si>
    <t xml:space="preserve">Лист ожидания</t>
  </si>
  <si>
    <t xml:space="preserve">Прогноз дохода</t>
  </si>
  <si>
    <t xml:space="preserve">Оплачено сейчас</t>
  </si>
  <si>
    <t xml:space="preserve">До цели минимум (12)</t>
  </si>
  <si>
    <t xml:space="preserve">До цели потока (15)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</si>
</sst>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€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B2A28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A68A5B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2EAD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B2A2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2EAD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2A28"/>
        <bgColor rgb="FF333300"/>
      </patternFill>
    </fill>
    <fill>
      <patternFill patternType="solid">
        <fgColor rgb="FFF7F2E9"/>
        <bgColor rgb="FFF2EAD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A68A5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2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A68A5B"/>
      <rgbColor rgb="FF9999FF"/>
      <rgbColor rgb="FF993366"/>
      <rgbColor rgb="FFF2EAD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B2A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2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4" t="s">
        <v>5</v>
      </c>
    </row>
    <row r="11" customFormat="false" ht="15" hidden="false" customHeight="false" outlineLevel="0" collapsed="false">
      <c r="A11" s="4" t="s">
        <v>6</v>
      </c>
    </row>
    <row r="12" customFormat="false" ht="15" hidden="false" customHeight="false" outlineLevel="0" collapsed="false">
      <c r="A12" s="4" t="s">
        <v>7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8</v>
      </c>
    </row>
    <row r="15" customFormat="false" ht="15" hidden="false" customHeight="false" outlineLevel="0" collapsed="false">
      <c r="A15" s="4" t="s">
        <v>9</v>
      </c>
    </row>
    <row r="16" customFormat="false" ht="15" hidden="false" customHeight="false" outlineLevel="0" collapsed="false">
      <c r="A16" s="4" t="s">
        <v>10</v>
      </c>
    </row>
    <row r="17" customFormat="false" ht="15" hidden="false" customHeight="false" outlineLevel="0" collapsed="false">
      <c r="A17" s="4" t="s">
        <v>11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12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13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14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15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 t="s">
        <v>16</v>
      </c>
    </row>
    <row r="29" customFormat="false" ht="15" hidden="false" customHeight="false" outlineLevel="0" collapsed="false">
      <c r="A29" s="2" t="s">
        <v>17</v>
      </c>
    </row>
    <row r="30" customFormat="false" ht="15" hidden="false" customHeight="false" outlineLevel="0" collapsed="false">
      <c r="A30" s="2" t="s">
        <v>18</v>
      </c>
    </row>
    <row r="31" customFormat="false" ht="15" hidden="false" customHeight="false" outlineLevel="0" collapsed="false">
      <c r="A31" s="2" t="s">
        <v>19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 t="s">
        <v>20</v>
      </c>
    </row>
    <row r="34" customFormat="false" ht="15" hidden="false" customHeight="false" outlineLevel="0" collapsed="false">
      <c r="A34" s="2" t="s">
        <v>21</v>
      </c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 t="s">
        <v>22</v>
      </c>
    </row>
    <row r="38" customFormat="false" ht="15" hidden="false" customHeight="false" outlineLevel="0" collapsed="false">
      <c r="A38" s="2"/>
    </row>
    <row r="39" customFormat="false" ht="15" hidden="false" customHeight="false" outlineLevel="0" collapsed="false">
      <c r="A39" s="2" t="s">
        <v>23</v>
      </c>
    </row>
    <row r="40" customFormat="false" ht="15" hidden="false" customHeight="false" outlineLevel="0" collapsed="false">
      <c r="A40" s="2" t="s">
        <v>24</v>
      </c>
    </row>
    <row r="41" customFormat="false" ht="15" hidden="false" customHeight="false" outlineLevel="0" collapsed="false">
      <c r="A41" s="2" t="s">
        <v>25</v>
      </c>
    </row>
    <row r="42" customFormat="false" ht="15" hidden="false" customHeight="false" outlineLevel="0" collapsed="false">
      <c r="A42" s="2" t="s">
        <v>26</v>
      </c>
    </row>
    <row r="43" customFormat="false" ht="15" hidden="false" customHeight="false" outlineLevel="0" collapsed="false">
      <c r="A43" s="2"/>
    </row>
    <row r="44" customFormat="false" ht="15" hidden="false" customHeight="false" outlineLevel="0" collapsed="false">
      <c r="A44" s="2" t="s">
        <v>27</v>
      </c>
    </row>
    <row r="45" customFormat="false" ht="15" hidden="false" customHeight="false" outlineLevel="0" collapsed="false">
      <c r="A45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8" min="6" style="0" width="14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</row>
    <row r="2" customFormat="false" ht="21.75" hidden="false" customHeight="true" outlineLevel="0" collapsed="false">
      <c r="A2" s="6" t="n">
        <f aca="false">ROW()-1</f>
        <v>1</v>
      </c>
      <c r="B2" s="7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G2" s="8"/>
      <c r="H2" s="8"/>
      <c r="I2" s="8" t="s">
        <v>44</v>
      </c>
      <c r="J2" s="8" t="s">
        <v>45</v>
      </c>
    </row>
    <row r="3" customFormat="false" ht="21.75" hidden="false" customHeight="true" outlineLevel="0" collapsed="false">
      <c r="A3" s="0" t="n">
        <f aca="false">ROW()-1</f>
        <v>2</v>
      </c>
      <c r="B3" s="9"/>
      <c r="C3" s="9"/>
      <c r="D3" s="9"/>
      <c r="E3" s="9"/>
      <c r="F3" s="9"/>
      <c r="G3" s="9"/>
      <c r="H3" s="9"/>
      <c r="I3" s="9"/>
      <c r="J3" s="9"/>
    </row>
    <row r="4" customFormat="false" ht="21.75" hidden="false" customHeight="true" outlineLevel="0" collapsed="false">
      <c r="A4" s="6" t="n">
        <f aca="false">ROW()-1</f>
        <v>3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21.75" hidden="false" customHeight="true" outlineLevel="0" collapsed="false">
      <c r="A5" s="0" t="n">
        <f aca="false">ROW()-1</f>
        <v>4</v>
      </c>
      <c r="B5" s="9"/>
      <c r="C5" s="9"/>
      <c r="D5" s="9"/>
      <c r="E5" s="9"/>
      <c r="F5" s="9"/>
      <c r="G5" s="9"/>
      <c r="H5" s="9"/>
      <c r="I5" s="9"/>
      <c r="J5" s="9"/>
    </row>
    <row r="6" customFormat="false" ht="21.75" hidden="false" customHeight="true" outlineLevel="0" collapsed="false">
      <c r="A6" s="6" t="n">
        <f aca="false">ROW()-1</f>
        <v>5</v>
      </c>
      <c r="B6" s="8"/>
      <c r="C6" s="8"/>
      <c r="D6" s="8"/>
      <c r="E6" s="8"/>
      <c r="F6" s="8"/>
      <c r="G6" s="8"/>
      <c r="H6" s="8"/>
      <c r="I6" s="8"/>
      <c r="J6" s="8"/>
    </row>
    <row r="7" customFormat="false" ht="21.75" hidden="false" customHeight="true" outlineLevel="0" collapsed="false">
      <c r="A7" s="0" t="n">
        <f aca="false">ROW()-1</f>
        <v>6</v>
      </c>
      <c r="B7" s="9"/>
      <c r="C7" s="9"/>
      <c r="D7" s="9"/>
      <c r="E7" s="9"/>
      <c r="F7" s="9"/>
      <c r="G7" s="9"/>
      <c r="H7" s="9"/>
      <c r="I7" s="9"/>
      <c r="J7" s="9"/>
    </row>
    <row r="8" customFormat="false" ht="21.75" hidden="false" customHeight="true" outlineLevel="0" collapsed="false">
      <c r="A8" s="6" t="n">
        <f aca="false">ROW()-1</f>
        <v>7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21.75" hidden="false" customHeight="true" outlineLevel="0" collapsed="false">
      <c r="A9" s="0" t="n">
        <f aca="false">ROW()-1</f>
        <v>8</v>
      </c>
      <c r="B9" s="9"/>
      <c r="C9" s="9"/>
      <c r="D9" s="9"/>
      <c r="E9" s="9"/>
      <c r="F9" s="9"/>
      <c r="G9" s="9"/>
      <c r="H9" s="9"/>
      <c r="I9" s="9"/>
      <c r="J9" s="9"/>
    </row>
    <row r="10" customFormat="false" ht="21.75" hidden="false" customHeight="true" outlineLevel="0" collapsed="false">
      <c r="A10" s="6" t="n">
        <f aca="false">ROW()-1</f>
        <v>9</v>
      </c>
      <c r="B10" s="8"/>
      <c r="C10" s="8"/>
      <c r="D10" s="8"/>
      <c r="E10" s="8"/>
      <c r="F10" s="8"/>
      <c r="G10" s="8"/>
      <c r="H10" s="8"/>
      <c r="I10" s="8"/>
      <c r="J10" s="8"/>
    </row>
    <row r="11" customFormat="false" ht="21.75" hidden="false" customHeight="true" outlineLevel="0" collapsed="false">
      <c r="A11" s="0" t="n">
        <f aca="false">ROW()-1</f>
        <v>10</v>
      </c>
      <c r="B11" s="9"/>
      <c r="C11" s="9"/>
      <c r="D11" s="9"/>
      <c r="E11" s="9"/>
      <c r="F11" s="9"/>
      <c r="G11" s="9"/>
      <c r="H11" s="9"/>
      <c r="I11" s="9"/>
      <c r="J11" s="9"/>
    </row>
    <row r="12" customFormat="false" ht="21.75" hidden="false" customHeight="true" outlineLevel="0" collapsed="false">
      <c r="A12" s="6" t="n">
        <f aca="false">ROW()-1</f>
        <v>11</v>
      </c>
      <c r="B12" s="8"/>
      <c r="C12" s="8"/>
      <c r="D12" s="8"/>
      <c r="E12" s="8"/>
      <c r="F12" s="8"/>
      <c r="G12" s="8"/>
      <c r="H12" s="8"/>
      <c r="I12" s="8"/>
      <c r="J12" s="8"/>
    </row>
    <row r="13" customFormat="false" ht="21.75" hidden="false" customHeight="true" outlineLevel="0" collapsed="false">
      <c r="A13" s="0" t="n">
        <f aca="false">ROW()-1</f>
        <v>12</v>
      </c>
      <c r="B13" s="9"/>
      <c r="C13" s="9"/>
      <c r="D13" s="9"/>
      <c r="E13" s="9"/>
      <c r="F13" s="9"/>
      <c r="G13" s="9"/>
      <c r="H13" s="9"/>
      <c r="I13" s="9"/>
      <c r="J13" s="9"/>
    </row>
    <row r="14" customFormat="false" ht="21.75" hidden="false" customHeight="true" outlineLevel="0" collapsed="false">
      <c r="A14" s="6" t="n">
        <f aca="false">ROW()-1</f>
        <v>13</v>
      </c>
      <c r="B14" s="8"/>
      <c r="C14" s="8"/>
      <c r="D14" s="8"/>
      <c r="E14" s="8"/>
      <c r="F14" s="8"/>
      <c r="G14" s="8"/>
      <c r="H14" s="8"/>
      <c r="I14" s="8"/>
      <c r="J14" s="8"/>
    </row>
    <row r="15" customFormat="false" ht="21.75" hidden="false" customHeight="true" outlineLevel="0" collapsed="false">
      <c r="A15" s="0" t="n">
        <f aca="false">ROW()-1</f>
        <v>14</v>
      </c>
      <c r="B15" s="9"/>
      <c r="C15" s="9"/>
      <c r="D15" s="9"/>
      <c r="E15" s="9"/>
      <c r="F15" s="9"/>
      <c r="G15" s="9"/>
      <c r="H15" s="9"/>
      <c r="I15" s="9"/>
      <c r="J15" s="9"/>
    </row>
    <row r="16" customFormat="false" ht="21.75" hidden="false" customHeight="true" outlineLevel="0" collapsed="false">
      <c r="A16" s="6" t="n">
        <f aca="false">ROW()-1</f>
        <v>15</v>
      </c>
      <c r="B16" s="8"/>
      <c r="C16" s="8"/>
      <c r="D16" s="8"/>
      <c r="E16" s="8"/>
      <c r="F16" s="8"/>
      <c r="G16" s="8"/>
      <c r="H16" s="8"/>
      <c r="I16" s="8"/>
      <c r="J16" s="8"/>
    </row>
    <row r="17" customFormat="false" ht="21.75" hidden="false" customHeight="true" outlineLevel="0" collapsed="false">
      <c r="A17" s="0" t="n">
        <f aca="false">ROW()-1</f>
        <v>16</v>
      </c>
      <c r="B17" s="9"/>
      <c r="C17" s="9"/>
      <c r="D17" s="9"/>
      <c r="E17" s="9"/>
      <c r="F17" s="9"/>
      <c r="G17" s="9"/>
      <c r="H17" s="9"/>
      <c r="I17" s="9"/>
      <c r="J17" s="9"/>
    </row>
    <row r="18" customFormat="false" ht="21.75" hidden="false" customHeight="true" outlineLevel="0" collapsed="false">
      <c r="A18" s="6" t="n">
        <f aca="false">ROW()-1</f>
        <v>17</v>
      </c>
      <c r="B18" s="8"/>
      <c r="C18" s="8"/>
      <c r="D18" s="8"/>
      <c r="E18" s="8"/>
      <c r="F18" s="8"/>
      <c r="G18" s="8"/>
      <c r="H18" s="8"/>
      <c r="I18" s="8"/>
      <c r="J18" s="8"/>
    </row>
    <row r="19" customFormat="false" ht="21.75" hidden="false" customHeight="true" outlineLevel="0" collapsed="false">
      <c r="A19" s="0" t="n">
        <f aca="false">ROW()-1</f>
        <v>18</v>
      </c>
      <c r="B19" s="9"/>
      <c r="C19" s="9"/>
      <c r="D19" s="9"/>
      <c r="E19" s="9"/>
      <c r="F19" s="9"/>
      <c r="G19" s="9"/>
      <c r="H19" s="9"/>
      <c r="I19" s="9"/>
      <c r="J19" s="9"/>
    </row>
    <row r="20" customFormat="false" ht="21.75" hidden="false" customHeight="true" outlineLevel="0" collapsed="false">
      <c r="A20" s="6" t="n">
        <f aca="false">ROW()-1</f>
        <v>19</v>
      </c>
      <c r="B20" s="8"/>
      <c r="C20" s="8"/>
      <c r="D20" s="8"/>
      <c r="E20" s="8"/>
      <c r="F20" s="8"/>
      <c r="G20" s="8"/>
      <c r="H20" s="8"/>
      <c r="I20" s="8"/>
      <c r="J20" s="8"/>
    </row>
    <row r="21" customFormat="false" ht="21.75" hidden="false" customHeight="true" outlineLevel="0" collapsed="false">
      <c r="A21" s="0" t="n">
        <f aca="false">ROW()-1</f>
        <v>20</v>
      </c>
      <c r="B21" s="9"/>
      <c r="C21" s="9"/>
      <c r="D21" s="9"/>
      <c r="E21" s="9"/>
      <c r="F21" s="9"/>
      <c r="G21" s="9"/>
      <c r="H21" s="9"/>
      <c r="I21" s="9"/>
      <c r="J21" s="9"/>
    </row>
    <row r="22" customFormat="false" ht="21.75" hidden="false" customHeight="true" outlineLevel="0" collapsed="false">
      <c r="A22" s="6" t="n">
        <f aca="false">ROW()-1</f>
        <v>21</v>
      </c>
      <c r="B22" s="8"/>
      <c r="C22" s="8"/>
      <c r="D22" s="8"/>
      <c r="E22" s="8"/>
      <c r="F22" s="8"/>
      <c r="G22" s="8"/>
      <c r="H22" s="8"/>
      <c r="I22" s="8"/>
      <c r="J22" s="8"/>
    </row>
    <row r="23" customFormat="false" ht="21.75" hidden="false" customHeight="true" outlineLevel="0" collapsed="false">
      <c r="A23" s="0" t="n">
        <f aca="false">ROW()-1</f>
        <v>22</v>
      </c>
      <c r="B23" s="9"/>
      <c r="C23" s="9"/>
      <c r="D23" s="9"/>
      <c r="E23" s="9"/>
      <c r="F23" s="9"/>
      <c r="G23" s="9"/>
      <c r="H23" s="9"/>
      <c r="I23" s="9"/>
      <c r="J23" s="9"/>
    </row>
    <row r="24" customFormat="false" ht="21.75" hidden="false" customHeight="true" outlineLevel="0" collapsed="false">
      <c r="A24" s="6" t="n">
        <f aca="false">ROW()-1</f>
        <v>23</v>
      </c>
      <c r="B24" s="8"/>
      <c r="C24" s="8"/>
      <c r="D24" s="8"/>
      <c r="E24" s="8"/>
      <c r="F24" s="8"/>
      <c r="G24" s="8"/>
      <c r="H24" s="8"/>
      <c r="I24" s="8"/>
      <c r="J24" s="8"/>
    </row>
    <row r="25" customFormat="false" ht="21.75" hidden="false" customHeight="true" outlineLevel="0" collapsed="false">
      <c r="A25" s="0" t="n">
        <f aca="false">ROW()-1</f>
        <v>24</v>
      </c>
      <c r="B25" s="9"/>
      <c r="C25" s="9"/>
      <c r="D25" s="9"/>
      <c r="E25" s="9"/>
      <c r="F25" s="9"/>
      <c r="G25" s="9"/>
      <c r="H25" s="9"/>
      <c r="I25" s="9"/>
      <c r="J25" s="9"/>
    </row>
    <row r="26" customFormat="false" ht="21.75" hidden="false" customHeight="true" outlineLevel="0" collapsed="false">
      <c r="A26" s="6" t="n">
        <f aca="false">ROW()-1</f>
        <v>25</v>
      </c>
      <c r="B26" s="8"/>
      <c r="C26" s="8"/>
      <c r="D26" s="8"/>
      <c r="E26" s="8"/>
      <c r="F26" s="8"/>
      <c r="G26" s="8"/>
      <c r="H26" s="8"/>
      <c r="I26" s="8"/>
      <c r="J26" s="8"/>
    </row>
    <row r="27" customFormat="false" ht="21.75" hidden="false" customHeight="true" outlineLevel="0" collapsed="false">
      <c r="A27" s="0" t="n">
        <f aca="false">ROW()-1</f>
        <v>26</v>
      </c>
      <c r="B27" s="9"/>
      <c r="C27" s="9"/>
      <c r="D27" s="9"/>
      <c r="E27" s="9"/>
      <c r="F27" s="9"/>
      <c r="G27" s="9"/>
      <c r="H27" s="9"/>
      <c r="I27" s="9"/>
      <c r="J27" s="9"/>
    </row>
    <row r="28" customFormat="false" ht="21.75" hidden="false" customHeight="true" outlineLevel="0" collapsed="false">
      <c r="A28" s="6" t="n">
        <f aca="false">ROW()-1</f>
        <v>27</v>
      </c>
      <c r="B28" s="8"/>
      <c r="C28" s="8"/>
      <c r="D28" s="8"/>
      <c r="E28" s="8"/>
      <c r="F28" s="8"/>
      <c r="G28" s="8"/>
      <c r="H28" s="8"/>
      <c r="I28" s="8"/>
      <c r="J28" s="8"/>
    </row>
    <row r="29" customFormat="false" ht="21.75" hidden="false" customHeight="true" outlineLevel="0" collapsed="false">
      <c r="A29" s="0" t="n">
        <f aca="false">ROW()-1</f>
        <v>28</v>
      </c>
      <c r="B29" s="9"/>
      <c r="C29" s="9"/>
      <c r="D29" s="9"/>
      <c r="E29" s="9"/>
      <c r="F29" s="9"/>
      <c r="G29" s="9"/>
      <c r="H29" s="9"/>
      <c r="I29" s="9"/>
      <c r="J29" s="9"/>
    </row>
    <row r="30" customFormat="false" ht="21.75" hidden="false" customHeight="true" outlineLevel="0" collapsed="false">
      <c r="A30" s="6" t="n">
        <f aca="false">ROW()-1</f>
        <v>29</v>
      </c>
      <c r="B30" s="8"/>
      <c r="C30" s="8"/>
      <c r="D30" s="8"/>
      <c r="E30" s="8"/>
      <c r="F30" s="8"/>
      <c r="G30" s="8"/>
      <c r="H30" s="8"/>
      <c r="I30" s="8"/>
      <c r="J30" s="8"/>
    </row>
    <row r="31" customFormat="false" ht="21.75" hidden="false" customHeight="true" outlineLevel="0" collapsed="false">
      <c r="A31" s="0" t="n">
        <f aca="false">ROW()-1</f>
        <v>30</v>
      </c>
      <c r="B31" s="9"/>
      <c r="C31" s="9"/>
      <c r="D31" s="9"/>
      <c r="E31" s="9"/>
      <c r="F31" s="9"/>
      <c r="G31" s="9"/>
      <c r="H31" s="9"/>
      <c r="I31" s="9"/>
      <c r="J31" s="9"/>
    </row>
    <row r="32" customFormat="false" ht="21.75" hidden="false" customHeight="true" outlineLevel="0" collapsed="false">
      <c r="A32" s="6" t="n">
        <f aca="false">ROW()-1</f>
        <v>31</v>
      </c>
      <c r="B32" s="8"/>
      <c r="C32" s="8"/>
      <c r="D32" s="8"/>
      <c r="E32" s="8"/>
      <c r="F32" s="8"/>
      <c r="G32" s="8"/>
      <c r="H32" s="8"/>
      <c r="I32" s="8"/>
      <c r="J32" s="8"/>
    </row>
    <row r="33" customFormat="false" ht="21.75" hidden="false" customHeight="true" outlineLevel="0" collapsed="false">
      <c r="A33" s="0" t="n">
        <f aca="false">ROW()-1</f>
        <v>32</v>
      </c>
      <c r="B33" s="9"/>
      <c r="C33" s="9"/>
      <c r="D33" s="9"/>
      <c r="E33" s="9"/>
      <c r="F33" s="9"/>
      <c r="G33" s="9"/>
      <c r="H33" s="9"/>
      <c r="I33" s="9"/>
      <c r="J33" s="9"/>
    </row>
    <row r="34" customFormat="false" ht="21.75" hidden="false" customHeight="true" outlineLevel="0" collapsed="false">
      <c r="A34" s="6" t="n">
        <f aca="false">ROW()-1</f>
        <v>33</v>
      </c>
      <c r="B34" s="8"/>
      <c r="C34" s="8"/>
      <c r="D34" s="8"/>
      <c r="E34" s="8"/>
      <c r="F34" s="8"/>
      <c r="G34" s="8"/>
      <c r="H34" s="8"/>
      <c r="I34" s="8"/>
      <c r="J34" s="8"/>
    </row>
    <row r="35" customFormat="false" ht="21.75" hidden="false" customHeight="true" outlineLevel="0" collapsed="false">
      <c r="A35" s="0" t="n">
        <f aca="false">ROW()-1</f>
        <v>34</v>
      </c>
      <c r="B35" s="9"/>
      <c r="C35" s="9"/>
      <c r="D35" s="9"/>
      <c r="E35" s="9"/>
      <c r="F35" s="9"/>
      <c r="G35" s="9"/>
      <c r="H35" s="9"/>
      <c r="I35" s="9"/>
      <c r="J35" s="9"/>
    </row>
    <row r="36" customFormat="false" ht="21.75" hidden="false" customHeight="true" outlineLevel="0" collapsed="false">
      <c r="A36" s="6" t="n">
        <f aca="false">ROW()-1</f>
        <v>35</v>
      </c>
      <c r="B36" s="8"/>
      <c r="C36" s="8"/>
      <c r="D36" s="8"/>
      <c r="E36" s="8"/>
      <c r="F36" s="8"/>
      <c r="G36" s="8"/>
      <c r="H36" s="8"/>
      <c r="I36" s="8"/>
      <c r="J36" s="8"/>
    </row>
    <row r="37" customFormat="false" ht="21.75" hidden="false" customHeight="true" outlineLevel="0" collapsed="false">
      <c r="A37" s="0" t="n">
        <f aca="false">ROW()-1</f>
        <v>36</v>
      </c>
      <c r="B37" s="9"/>
      <c r="C37" s="9"/>
      <c r="D37" s="9"/>
      <c r="E37" s="9"/>
      <c r="F37" s="9"/>
      <c r="G37" s="9"/>
      <c r="H37" s="9"/>
      <c r="I37" s="9"/>
      <c r="J37" s="9"/>
    </row>
    <row r="38" customFormat="false" ht="21.75" hidden="false" customHeight="true" outlineLevel="0" collapsed="false">
      <c r="A38" s="6" t="n">
        <f aca="false">ROW()-1</f>
        <v>37</v>
      </c>
      <c r="B38" s="8"/>
      <c r="C38" s="8"/>
      <c r="D38" s="8"/>
      <c r="E38" s="8"/>
      <c r="F38" s="8"/>
      <c r="G38" s="8"/>
      <c r="H38" s="8"/>
      <c r="I38" s="8"/>
      <c r="J38" s="8"/>
    </row>
    <row r="39" customFormat="false" ht="21.75" hidden="false" customHeight="true" outlineLevel="0" collapsed="false">
      <c r="A39" s="0" t="n">
        <f aca="false">ROW()-1</f>
        <v>38</v>
      </c>
      <c r="B39" s="9"/>
      <c r="C39" s="9"/>
      <c r="D39" s="9"/>
      <c r="E39" s="9"/>
      <c r="F39" s="9"/>
      <c r="G39" s="9"/>
      <c r="H39" s="9"/>
      <c r="I39" s="9"/>
      <c r="J39" s="9"/>
    </row>
    <row r="40" customFormat="false" ht="21.75" hidden="false" customHeight="true" outlineLevel="0" collapsed="false">
      <c r="A40" s="6" t="n">
        <f aca="false">ROW()-1</f>
        <v>39</v>
      </c>
      <c r="B40" s="8"/>
      <c r="C40" s="8"/>
      <c r="D40" s="8"/>
      <c r="E40" s="8"/>
      <c r="F40" s="8"/>
      <c r="G40" s="8"/>
      <c r="H40" s="8"/>
      <c r="I40" s="8"/>
      <c r="J40" s="8"/>
    </row>
    <row r="41" customFormat="false" ht="21.75" hidden="false" customHeight="true" outlineLevel="0" collapsed="false">
      <c r="A41" s="0" t="n">
        <f aca="false">ROW()-1</f>
        <v>40</v>
      </c>
      <c r="B41" s="9"/>
      <c r="C41" s="9"/>
      <c r="D41" s="9"/>
      <c r="E41" s="9"/>
      <c r="F41" s="9"/>
      <c r="G41" s="9"/>
      <c r="H41" s="9"/>
      <c r="I41" s="9"/>
      <c r="J41" s="9"/>
    </row>
    <row r="42" customFormat="false" ht="21.75" hidden="false" customHeight="true" outlineLevel="0" collapsed="false">
      <c r="A42" s="6" t="n">
        <f aca="false">ROW()-1</f>
        <v>41</v>
      </c>
      <c r="B42" s="8"/>
      <c r="C42" s="8"/>
      <c r="D42" s="8"/>
      <c r="E42" s="8"/>
      <c r="F42" s="8"/>
      <c r="G42" s="8"/>
      <c r="H42" s="8"/>
      <c r="I42" s="8"/>
      <c r="J42" s="8"/>
    </row>
    <row r="43" customFormat="false" ht="21.75" hidden="false" customHeight="true" outlineLevel="0" collapsed="false">
      <c r="A43" s="0" t="n">
        <f aca="false">ROW()-1</f>
        <v>42</v>
      </c>
      <c r="B43" s="9"/>
      <c r="C43" s="9"/>
      <c r="D43" s="9"/>
      <c r="E43" s="9"/>
      <c r="F43" s="9"/>
      <c r="G43" s="9"/>
      <c r="H43" s="9"/>
      <c r="I43" s="9"/>
      <c r="J43" s="9"/>
    </row>
    <row r="44" customFormat="false" ht="21.75" hidden="false" customHeight="true" outlineLevel="0" collapsed="false">
      <c r="A44" s="6" t="n">
        <f aca="false">ROW()-1</f>
        <v>43</v>
      </c>
      <c r="B44" s="8"/>
      <c r="C44" s="8"/>
      <c r="D44" s="8"/>
      <c r="E44" s="8"/>
      <c r="F44" s="8"/>
      <c r="G44" s="8"/>
      <c r="H44" s="8"/>
      <c r="I44" s="8"/>
      <c r="J44" s="8"/>
    </row>
    <row r="45" customFormat="false" ht="21.75" hidden="false" customHeight="true" outlineLevel="0" collapsed="false">
      <c r="A45" s="0" t="n">
        <f aca="false">ROW()-1</f>
        <v>44</v>
      </c>
      <c r="B45" s="9"/>
      <c r="C45" s="9"/>
      <c r="D45" s="9"/>
      <c r="E45" s="9"/>
      <c r="F45" s="9"/>
      <c r="G45" s="9"/>
      <c r="H45" s="9"/>
      <c r="I45" s="9"/>
      <c r="J45" s="9"/>
    </row>
    <row r="46" customFormat="false" ht="21.75" hidden="false" customHeight="true" outlineLevel="0" collapsed="false">
      <c r="A46" s="6" t="n">
        <f aca="false">ROW()-1</f>
        <v>45</v>
      </c>
      <c r="B46" s="8"/>
      <c r="C46" s="8"/>
      <c r="D46" s="8"/>
      <c r="E46" s="8"/>
      <c r="F46" s="8"/>
      <c r="G46" s="8"/>
      <c r="H46" s="8"/>
      <c r="I46" s="8"/>
      <c r="J46" s="8"/>
    </row>
    <row r="47" customFormat="false" ht="21.75" hidden="false" customHeight="true" outlineLevel="0" collapsed="false">
      <c r="A47" s="0" t="n">
        <f aca="false">ROW()-1</f>
        <v>46</v>
      </c>
      <c r="B47" s="9"/>
      <c r="C47" s="9"/>
      <c r="D47" s="9"/>
      <c r="E47" s="9"/>
      <c r="F47" s="9"/>
      <c r="G47" s="9"/>
      <c r="H47" s="9"/>
      <c r="I47" s="9"/>
      <c r="J47" s="9"/>
    </row>
    <row r="48" customFormat="false" ht="21.75" hidden="false" customHeight="true" outlineLevel="0" collapsed="false">
      <c r="A48" s="6" t="n">
        <f aca="false">ROW()-1</f>
        <v>47</v>
      </c>
      <c r="B48" s="8"/>
      <c r="C48" s="8"/>
      <c r="D48" s="8"/>
      <c r="E48" s="8"/>
      <c r="F48" s="8"/>
      <c r="G48" s="8"/>
      <c r="H48" s="8"/>
      <c r="I48" s="8"/>
      <c r="J48" s="8"/>
    </row>
    <row r="49" customFormat="false" ht="21.75" hidden="false" customHeight="true" outlineLevel="0" collapsed="false">
      <c r="A49" s="0" t="n">
        <f aca="false">ROW()-1</f>
        <v>48</v>
      </c>
      <c r="B49" s="9"/>
      <c r="C49" s="9"/>
      <c r="D49" s="9"/>
      <c r="E49" s="9"/>
      <c r="F49" s="9"/>
      <c r="G49" s="9"/>
      <c r="H49" s="9"/>
      <c r="I49" s="9"/>
      <c r="J49" s="9"/>
    </row>
    <row r="50" customFormat="false" ht="21.75" hidden="false" customHeight="true" outlineLevel="0" collapsed="false">
      <c r="A50" s="6" t="n">
        <f aca="false">ROW()-1</f>
        <v>49</v>
      </c>
      <c r="B50" s="8"/>
      <c r="C50" s="8"/>
      <c r="D50" s="8"/>
      <c r="E50" s="8"/>
      <c r="F50" s="8"/>
      <c r="G50" s="8"/>
      <c r="H50" s="8"/>
      <c r="I50" s="8"/>
      <c r="J50" s="8"/>
    </row>
    <row r="51" customFormat="false" ht="21.75" hidden="false" customHeight="true" outlineLevel="0" collapsed="false">
      <c r="A51" s="0" t="n">
        <f aca="false">ROW()-1</f>
        <v>50</v>
      </c>
      <c r="B51" s="9"/>
      <c r="C51" s="9"/>
      <c r="D51" s="9"/>
      <c r="E51" s="9"/>
      <c r="F51" s="9"/>
      <c r="G51" s="9"/>
      <c r="H51" s="9"/>
      <c r="I51" s="9"/>
      <c r="J51" s="9"/>
    </row>
    <row r="52" customFormat="false" ht="21.75" hidden="false" customHeight="true" outlineLevel="0" collapsed="false">
      <c r="A52" s="6" t="n">
        <f aca="false">ROW()-1</f>
        <v>51</v>
      </c>
      <c r="B52" s="8"/>
      <c r="C52" s="8"/>
      <c r="D52" s="8"/>
      <c r="E52" s="8"/>
      <c r="F52" s="8"/>
      <c r="G52" s="8"/>
      <c r="H52" s="8"/>
      <c r="I52" s="8"/>
      <c r="J52" s="8"/>
    </row>
    <row r="53" customFormat="false" ht="21.75" hidden="false" customHeight="true" outlineLevel="0" collapsed="false">
      <c r="A53" s="0" t="n">
        <f aca="false">ROW()-1</f>
        <v>52</v>
      </c>
      <c r="B53" s="9"/>
      <c r="C53" s="9"/>
      <c r="D53" s="9"/>
      <c r="E53" s="9"/>
      <c r="F53" s="9"/>
      <c r="G53" s="9"/>
      <c r="H53" s="9"/>
      <c r="I53" s="9"/>
      <c r="J53" s="9"/>
    </row>
    <row r="54" customFormat="false" ht="21.75" hidden="false" customHeight="true" outlineLevel="0" collapsed="false">
      <c r="A54" s="6" t="n">
        <f aca="false">ROW()-1</f>
        <v>53</v>
      </c>
      <c r="B54" s="8"/>
      <c r="C54" s="8"/>
      <c r="D54" s="8"/>
      <c r="E54" s="8"/>
      <c r="F54" s="8"/>
      <c r="G54" s="8"/>
      <c r="H54" s="8"/>
      <c r="I54" s="8"/>
      <c r="J54" s="8"/>
    </row>
    <row r="55" customFormat="false" ht="21.75" hidden="false" customHeight="true" outlineLevel="0" collapsed="false">
      <c r="A55" s="0" t="n">
        <f aca="false">ROW()-1</f>
        <v>54</v>
      </c>
      <c r="B55" s="9"/>
      <c r="C55" s="9"/>
      <c r="D55" s="9"/>
      <c r="E55" s="9"/>
      <c r="F55" s="9"/>
      <c r="G55" s="9"/>
      <c r="H55" s="9"/>
      <c r="I55" s="9"/>
      <c r="J55" s="9"/>
    </row>
    <row r="56" customFormat="false" ht="21.75" hidden="false" customHeight="true" outlineLevel="0" collapsed="false">
      <c r="A56" s="6" t="n">
        <f aca="false">ROW()-1</f>
        <v>55</v>
      </c>
      <c r="B56" s="8"/>
      <c r="C56" s="8"/>
      <c r="D56" s="8"/>
      <c r="E56" s="8"/>
      <c r="F56" s="8"/>
      <c r="G56" s="8"/>
      <c r="H56" s="8"/>
      <c r="I56" s="8"/>
      <c r="J56" s="8"/>
    </row>
    <row r="57" customFormat="false" ht="21.75" hidden="false" customHeight="true" outlineLevel="0" collapsed="false">
      <c r="A57" s="0" t="n">
        <f aca="false">ROW()-1</f>
        <v>56</v>
      </c>
      <c r="B57" s="9"/>
      <c r="C57" s="9"/>
      <c r="D57" s="9"/>
      <c r="E57" s="9"/>
      <c r="F57" s="9"/>
      <c r="G57" s="9"/>
      <c r="H57" s="9"/>
      <c r="I57" s="9"/>
      <c r="J57" s="9"/>
    </row>
    <row r="58" customFormat="false" ht="21.75" hidden="false" customHeight="true" outlineLevel="0" collapsed="false">
      <c r="A58" s="6" t="n">
        <f aca="false">ROW()-1</f>
        <v>57</v>
      </c>
      <c r="B58" s="8"/>
      <c r="C58" s="8"/>
      <c r="D58" s="8"/>
      <c r="E58" s="8"/>
      <c r="F58" s="8"/>
      <c r="G58" s="8"/>
      <c r="H58" s="8"/>
      <c r="I58" s="8"/>
      <c r="J58" s="8"/>
    </row>
    <row r="59" customFormat="false" ht="21.75" hidden="false" customHeight="true" outlineLevel="0" collapsed="false">
      <c r="A59" s="0" t="n">
        <f aca="false">ROW()-1</f>
        <v>58</v>
      </c>
      <c r="B59" s="9"/>
      <c r="C59" s="9"/>
      <c r="D59" s="9"/>
      <c r="E59" s="9"/>
      <c r="F59" s="9"/>
      <c r="G59" s="9"/>
      <c r="H59" s="9"/>
      <c r="I59" s="9"/>
      <c r="J59" s="9"/>
    </row>
    <row r="60" customFormat="false" ht="21.75" hidden="false" customHeight="true" outlineLevel="0" collapsed="false">
      <c r="A60" s="6" t="n">
        <f aca="false">ROW()-1</f>
        <v>59</v>
      </c>
      <c r="B60" s="8"/>
      <c r="C60" s="8"/>
      <c r="D60" s="8"/>
      <c r="E60" s="8"/>
      <c r="F60" s="8"/>
      <c r="G60" s="8"/>
      <c r="H60" s="8"/>
      <c r="I60" s="8"/>
      <c r="J60" s="8"/>
    </row>
    <row r="61" customFormat="false" ht="21.75" hidden="false" customHeight="true" outlineLevel="0" collapsed="false">
      <c r="A61" s="0" t="n">
        <f aca="false">ROW()-1</f>
        <v>60</v>
      </c>
      <c r="B61" s="9"/>
      <c r="C61" s="9"/>
      <c r="D61" s="9"/>
      <c r="E61" s="9"/>
      <c r="F61" s="9"/>
      <c r="G61" s="9"/>
      <c r="H61" s="9"/>
      <c r="I61" s="9"/>
      <c r="J61" s="9"/>
    </row>
    <row r="62" customFormat="false" ht="21.75" hidden="false" customHeight="true" outlineLevel="0" collapsed="false">
      <c r="A62" s="6" t="n">
        <f aca="false">ROW()-1</f>
        <v>61</v>
      </c>
      <c r="B62" s="8"/>
      <c r="C62" s="8"/>
      <c r="D62" s="8"/>
      <c r="E62" s="8"/>
      <c r="F62" s="8"/>
      <c r="G62" s="8"/>
      <c r="H62" s="8"/>
      <c r="I62" s="8"/>
      <c r="J62" s="8"/>
    </row>
    <row r="63" customFormat="false" ht="21.75" hidden="false" customHeight="true" outlineLevel="0" collapsed="false">
      <c r="A63" s="0" t="n">
        <f aca="false">ROW()-1</f>
        <v>62</v>
      </c>
      <c r="B63" s="9"/>
      <c r="C63" s="9"/>
      <c r="D63" s="9"/>
      <c r="E63" s="9"/>
      <c r="F63" s="9"/>
      <c r="G63" s="9"/>
      <c r="H63" s="9"/>
      <c r="I63" s="9"/>
      <c r="J63" s="9"/>
    </row>
    <row r="64" customFormat="false" ht="21.75" hidden="false" customHeight="true" outlineLevel="0" collapsed="false">
      <c r="A64" s="6" t="n">
        <f aca="false">ROW()-1</f>
        <v>63</v>
      </c>
      <c r="B64" s="8"/>
      <c r="C64" s="8"/>
      <c r="D64" s="8"/>
      <c r="E64" s="8"/>
      <c r="F64" s="8"/>
      <c r="G64" s="8"/>
      <c r="H64" s="8"/>
      <c r="I64" s="8"/>
      <c r="J64" s="8"/>
    </row>
    <row r="65" customFormat="false" ht="21.75" hidden="false" customHeight="true" outlineLevel="0" collapsed="false">
      <c r="A65" s="0" t="n">
        <f aca="false">ROW()-1</f>
        <v>64</v>
      </c>
      <c r="B65" s="9"/>
      <c r="C65" s="9"/>
      <c r="D65" s="9"/>
      <c r="E65" s="9"/>
      <c r="F65" s="9"/>
      <c r="G65" s="9"/>
      <c r="H65" s="9"/>
      <c r="I65" s="9"/>
      <c r="J65" s="9"/>
    </row>
    <row r="66" customFormat="false" ht="21.75" hidden="false" customHeight="true" outlineLevel="0" collapsed="false">
      <c r="A66" s="6" t="n">
        <f aca="false">ROW()-1</f>
        <v>65</v>
      </c>
      <c r="B66" s="8"/>
      <c r="C66" s="8"/>
      <c r="D66" s="8"/>
      <c r="E66" s="8"/>
      <c r="F66" s="8"/>
      <c r="G66" s="8"/>
      <c r="H66" s="8"/>
      <c r="I66" s="8"/>
      <c r="J66" s="8"/>
    </row>
    <row r="67" customFormat="false" ht="21.75" hidden="false" customHeight="true" outlineLevel="0" collapsed="false">
      <c r="A67" s="0" t="n">
        <f aca="false">ROW()-1</f>
        <v>66</v>
      </c>
      <c r="B67" s="9"/>
      <c r="C67" s="9"/>
      <c r="D67" s="9"/>
      <c r="E67" s="9"/>
      <c r="F67" s="9"/>
      <c r="G67" s="9"/>
      <c r="H67" s="9"/>
      <c r="I67" s="9"/>
      <c r="J67" s="9"/>
    </row>
    <row r="68" customFormat="false" ht="21.75" hidden="false" customHeight="true" outlineLevel="0" collapsed="false">
      <c r="A68" s="6" t="n">
        <f aca="false">ROW()-1</f>
        <v>67</v>
      </c>
      <c r="B68" s="8"/>
      <c r="C68" s="8"/>
      <c r="D68" s="8"/>
      <c r="E68" s="8"/>
      <c r="F68" s="8"/>
      <c r="G68" s="8"/>
      <c r="H68" s="8"/>
      <c r="I68" s="8"/>
      <c r="J68" s="8"/>
    </row>
    <row r="69" customFormat="false" ht="21.75" hidden="false" customHeight="true" outlineLevel="0" collapsed="false">
      <c r="A69" s="0" t="n">
        <f aca="false">ROW()-1</f>
        <v>68</v>
      </c>
      <c r="B69" s="9"/>
      <c r="C69" s="9"/>
      <c r="D69" s="9"/>
      <c r="E69" s="9"/>
      <c r="F69" s="9"/>
      <c r="G69" s="9"/>
      <c r="H69" s="9"/>
      <c r="I69" s="9"/>
      <c r="J69" s="9"/>
    </row>
    <row r="70" customFormat="false" ht="21.75" hidden="false" customHeight="true" outlineLevel="0" collapsed="false">
      <c r="A70" s="6" t="n">
        <f aca="false">ROW()-1</f>
        <v>69</v>
      </c>
      <c r="B70" s="8"/>
      <c r="C70" s="8"/>
      <c r="D70" s="8"/>
      <c r="E70" s="8"/>
      <c r="F70" s="8"/>
      <c r="G70" s="8"/>
      <c r="H70" s="8"/>
      <c r="I70" s="8"/>
      <c r="J70" s="8"/>
    </row>
    <row r="71" customFormat="false" ht="21.75" hidden="false" customHeight="true" outlineLevel="0" collapsed="false">
      <c r="A71" s="0" t="n">
        <f aca="false">ROW()-1</f>
        <v>70</v>
      </c>
      <c r="B71" s="9"/>
      <c r="C71" s="9"/>
      <c r="D71" s="9"/>
      <c r="E71" s="9"/>
      <c r="F71" s="9"/>
      <c r="G71" s="9"/>
      <c r="H71" s="9"/>
      <c r="I71" s="9"/>
      <c r="J71" s="9"/>
    </row>
    <row r="72" customFormat="false" ht="21.75" hidden="false" customHeight="true" outlineLevel="0" collapsed="false">
      <c r="A72" s="6" t="n">
        <f aca="false">ROW()-1</f>
        <v>71</v>
      </c>
      <c r="B72" s="8"/>
      <c r="C72" s="8"/>
      <c r="D72" s="8"/>
      <c r="E72" s="8"/>
      <c r="F72" s="8"/>
      <c r="G72" s="8"/>
      <c r="H72" s="8"/>
      <c r="I72" s="8"/>
      <c r="J72" s="8"/>
    </row>
    <row r="73" customFormat="false" ht="21.75" hidden="false" customHeight="true" outlineLevel="0" collapsed="false">
      <c r="A73" s="0" t="n">
        <f aca="false">ROW()-1</f>
        <v>72</v>
      </c>
      <c r="B73" s="9"/>
      <c r="C73" s="9"/>
      <c r="D73" s="9"/>
      <c r="E73" s="9"/>
      <c r="F73" s="9"/>
      <c r="G73" s="9"/>
      <c r="H73" s="9"/>
      <c r="I73" s="9"/>
      <c r="J73" s="9"/>
    </row>
    <row r="74" customFormat="false" ht="21.75" hidden="false" customHeight="true" outlineLevel="0" collapsed="false">
      <c r="A74" s="6" t="n">
        <f aca="false">ROW()-1</f>
        <v>73</v>
      </c>
      <c r="B74" s="8"/>
      <c r="C74" s="8"/>
      <c r="D74" s="8"/>
      <c r="E74" s="8"/>
      <c r="F74" s="8"/>
      <c r="G74" s="8"/>
      <c r="H74" s="8"/>
      <c r="I74" s="8"/>
      <c r="J74" s="8"/>
    </row>
    <row r="75" customFormat="false" ht="21.75" hidden="false" customHeight="true" outlineLevel="0" collapsed="false">
      <c r="A75" s="0" t="n">
        <f aca="false">ROW()-1</f>
        <v>74</v>
      </c>
      <c r="B75" s="9"/>
      <c r="C75" s="9"/>
      <c r="D75" s="9"/>
      <c r="E75" s="9"/>
      <c r="F75" s="9"/>
      <c r="G75" s="9"/>
      <c r="H75" s="9"/>
      <c r="I75" s="9"/>
      <c r="J75" s="9"/>
    </row>
    <row r="76" customFormat="false" ht="21.75" hidden="false" customHeight="true" outlineLevel="0" collapsed="false">
      <c r="A76" s="6" t="n">
        <f aca="false">ROW()-1</f>
        <v>75</v>
      </c>
      <c r="B76" s="8"/>
      <c r="C76" s="8"/>
      <c r="D76" s="8"/>
      <c r="E76" s="8"/>
      <c r="F76" s="8"/>
      <c r="G76" s="8"/>
      <c r="H76" s="8"/>
      <c r="I76" s="8"/>
      <c r="J76" s="8"/>
    </row>
    <row r="77" customFormat="false" ht="21.75" hidden="false" customHeight="true" outlineLevel="0" collapsed="false">
      <c r="A77" s="0" t="n">
        <f aca="false">ROW()-1</f>
        <v>76</v>
      </c>
      <c r="B77" s="9"/>
      <c r="C77" s="9"/>
      <c r="D77" s="9"/>
      <c r="E77" s="9"/>
      <c r="F77" s="9"/>
      <c r="G77" s="9"/>
      <c r="H77" s="9"/>
      <c r="I77" s="9"/>
      <c r="J77" s="9"/>
    </row>
    <row r="78" customFormat="false" ht="21.75" hidden="false" customHeight="true" outlineLevel="0" collapsed="false">
      <c r="A78" s="6" t="n">
        <f aca="false">ROW()-1</f>
        <v>77</v>
      </c>
      <c r="B78" s="8"/>
      <c r="C78" s="8"/>
      <c r="D78" s="8"/>
      <c r="E78" s="8"/>
      <c r="F78" s="8"/>
      <c r="G78" s="8"/>
      <c r="H78" s="8"/>
      <c r="I78" s="8"/>
      <c r="J78" s="8"/>
    </row>
    <row r="79" customFormat="false" ht="21.75" hidden="false" customHeight="true" outlineLevel="0" collapsed="false">
      <c r="A79" s="0" t="n">
        <f aca="false">ROW()-1</f>
        <v>78</v>
      </c>
      <c r="B79" s="9"/>
      <c r="C79" s="9"/>
      <c r="D79" s="9"/>
      <c r="E79" s="9"/>
      <c r="F79" s="9"/>
      <c r="G79" s="9"/>
      <c r="H79" s="9"/>
      <c r="I79" s="9"/>
      <c r="J79" s="9"/>
    </row>
    <row r="80" customFormat="false" ht="21.75" hidden="false" customHeight="true" outlineLevel="0" collapsed="false">
      <c r="A80" s="6" t="n">
        <f aca="false">ROW()-1</f>
        <v>79</v>
      </c>
      <c r="B80" s="8"/>
      <c r="C80" s="8"/>
      <c r="D80" s="8"/>
      <c r="E80" s="8"/>
      <c r="F80" s="8"/>
      <c r="G80" s="8"/>
      <c r="H80" s="8"/>
      <c r="I80" s="8"/>
      <c r="J80" s="8"/>
    </row>
    <row r="81" customFormat="false" ht="21.75" hidden="false" customHeight="true" outlineLevel="0" collapsed="false">
      <c r="A81" s="0" t="n">
        <f aca="false">ROW()-1</f>
        <v>80</v>
      </c>
      <c r="B81" s="9"/>
      <c r="C81" s="9"/>
      <c r="D81" s="9"/>
      <c r="E81" s="9"/>
      <c r="F81" s="9"/>
      <c r="G81" s="9"/>
      <c r="H81" s="9"/>
      <c r="I81" s="9"/>
      <c r="J81" s="9"/>
    </row>
  </sheetData>
  <dataValidations count="3">
    <dataValidation allowBlank="true" error="Выберите A, B, C или D" errorStyle="stop" operator="between" showDropDown="false" showErrorMessage="false" showInputMessage="false" sqref="D2:D81" type="list">
      <formula1>"A — Горячий,B — Тёплый,C — Спящий,D — Lead Magnet"</formula1>
      <formula2>0</formula2>
    </dataValidation>
    <dataValidation allowBlank="true" errorStyle="stop" operator="between" showDropDown="false" showErrorMessage="false" showInputMessage="false" sqref="F2:F81" type="list">
      <formula1>"A,B,C,D,Свой"</formula1>
      <formula2>0</formula2>
    </dataValidation>
    <dataValidation allowBlank="true" errorStyle="stop" operator="between" showDropDown="false" showErrorMessage="false" showInputMessage="false" sqref="I2:I81" type="list">
      <formula1>"Не отправлено,Отправлено,Ответила,Записалась на МК,Пришла на МК,Оплатила курс,Отказ,В лист ожидания"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</cols>
  <sheetData>
    <row r="1" customFormat="false" ht="17.35" hidden="false" customHeight="false" outlineLevel="0" collapsed="false">
      <c r="A1" s="10" t="s">
        <v>46</v>
      </c>
    </row>
    <row r="3" customFormat="false" ht="15" hidden="false" customHeight="false" outlineLevel="0" collapsed="false">
      <c r="A3" s="2" t="s">
        <v>47</v>
      </c>
      <c r="B3" s="11" t="n">
        <v>12</v>
      </c>
      <c r="C3" s="12" t="s">
        <v>48</v>
      </c>
    </row>
    <row r="4" customFormat="false" ht="15" hidden="false" customHeight="false" outlineLevel="0" collapsed="false">
      <c r="A4" s="2" t="s">
        <v>49</v>
      </c>
      <c r="B4" s="11" t="n">
        <v>15</v>
      </c>
      <c r="C4" s="12" t="s">
        <v>50</v>
      </c>
    </row>
    <row r="5" customFormat="false" ht="15" hidden="false" customHeight="false" outlineLevel="0" collapsed="false">
      <c r="A5" s="2" t="s">
        <v>51</v>
      </c>
      <c r="B5" s="11" t="n">
        <v>50</v>
      </c>
      <c r="C5" s="12" t="s">
        <v>52</v>
      </c>
    </row>
    <row r="7" customFormat="false" ht="17.35" hidden="false" customHeight="false" outlineLevel="0" collapsed="false">
      <c r="A7" s="10" t="s">
        <v>53</v>
      </c>
    </row>
    <row r="8" customFormat="false" ht="15" hidden="false" customHeight="false" outlineLevel="0" collapsed="false">
      <c r="A8" s="13" t="s">
        <v>54</v>
      </c>
      <c r="B8" s="13" t="s">
        <v>55</v>
      </c>
      <c r="C8" s="13" t="s">
        <v>56</v>
      </c>
    </row>
    <row r="9" customFormat="false" ht="15" hidden="false" customHeight="false" outlineLevel="0" collapsed="false">
      <c r="A9" s="2" t="s">
        <v>57</v>
      </c>
      <c r="B9" s="14" t="n">
        <f aca="false">COUNTA(Контакты!B2:B81)</f>
        <v>1</v>
      </c>
    </row>
    <row r="10" customFormat="false" ht="15" hidden="false" customHeight="false" outlineLevel="0" collapsed="false">
      <c r="A10" s="2" t="s">
        <v>58</v>
      </c>
      <c r="B10" s="14" t="n">
        <f aca="false">COUNTIF(Контакты!I2:I81,"Отправлено")+COUNTIF(Контакты!I2:I81,"Ответила")+COUNTIF(Контакты!I2:I81,"Записалась на МК")+COUNTIF(Контакты!I2:I81,"Пришла на МК")+COUNTIF(Контакты!I2:I81,"Оплатила курс")+COUNTIF(Контакты!I2:I81,"Отказ")+COUNTIF(Контакты!I2:I81,"В лист ожидания")</f>
        <v>0</v>
      </c>
      <c r="C10" s="15" t="n">
        <f aca="false">IF(B9&gt;0, B10/B9, 0)</f>
        <v>0</v>
      </c>
    </row>
    <row r="11" customFormat="false" ht="15" hidden="false" customHeight="false" outlineLevel="0" collapsed="false">
      <c r="A11" s="2" t="s">
        <v>59</v>
      </c>
      <c r="B11" s="14" t="n">
        <f aca="false">COUNTIF(Контакты!I2:I81,"Ответила")+COUNTIF(Контакты!I2:I81,"Записалась на МК")+COUNTIF(Контакты!I2:I81,"Пришла на МК")+COUNTIF(Контакты!I2:I81,"Оплатила курс")</f>
        <v>0</v>
      </c>
      <c r="C11" s="15" t="n">
        <f aca="false">IF(B10&gt;0, B11/B10, 0)</f>
        <v>0</v>
      </c>
    </row>
    <row r="12" customFormat="false" ht="15" hidden="false" customHeight="false" outlineLevel="0" collapsed="false">
      <c r="A12" s="2" t="s">
        <v>60</v>
      </c>
      <c r="B12" s="14" t="n">
        <f aca="false">COUNTIF(Контакты!I2:I81,"Записалась на МК")+COUNTIF(Контакты!I2:I81,"Пришла на МК")+COUNTIF(Контакты!I2:I81,"Оплатила курс")</f>
        <v>0</v>
      </c>
      <c r="C12" s="15" t="n">
        <f aca="false">IF(B11&gt;0, B12/B11, 0)</f>
        <v>0</v>
      </c>
    </row>
    <row r="13" customFormat="false" ht="15" hidden="false" customHeight="false" outlineLevel="0" collapsed="false">
      <c r="A13" s="2" t="s">
        <v>61</v>
      </c>
      <c r="B13" s="14" t="n">
        <f aca="false">COUNTIF(Контакты!I2:I81,"Пришла на МК")+COUNTIF(Контакты!I2:I81,"Оплатила курс")</f>
        <v>0</v>
      </c>
      <c r="C13" s="15" t="n">
        <f aca="false">IF(B12&gt;0, B13/B12, 0)</f>
        <v>0</v>
      </c>
    </row>
    <row r="14" customFormat="false" ht="15" hidden="false" customHeight="false" outlineLevel="0" collapsed="false">
      <c r="A14" s="2" t="s">
        <v>62</v>
      </c>
      <c r="B14" s="14" t="n">
        <f aca="false">COUNTIF(Контакты!I2:I81,"Оплатила курс")</f>
        <v>0</v>
      </c>
      <c r="C14" s="15" t="n">
        <f aca="false">IF(B13&gt;0, B14/B13, 0)</f>
        <v>0</v>
      </c>
    </row>
    <row r="15" customFormat="false" ht="15" hidden="false" customHeight="false" outlineLevel="0" collapsed="false">
      <c r="A15" s="2" t="s">
        <v>63</v>
      </c>
      <c r="B15" s="14" t="n">
        <f aca="false">COUNTIF(Контакты!I2:I81,"Отказ")</f>
        <v>0</v>
      </c>
    </row>
    <row r="16" customFormat="false" ht="15" hidden="false" customHeight="false" outlineLevel="0" collapsed="false">
      <c r="A16" s="2" t="s">
        <v>64</v>
      </c>
      <c r="B16" s="14" t="n">
        <f aca="false">COUNTIF(Контакты!I2:I81,"В лист ожидания")</f>
        <v>0</v>
      </c>
    </row>
    <row r="17" customFormat="false" ht="17.35" hidden="false" customHeight="false" outlineLevel="0" collapsed="false">
      <c r="A17" s="10" t="s">
        <v>65</v>
      </c>
    </row>
    <row r="18" customFormat="false" ht="15" hidden="false" customHeight="false" outlineLevel="0" collapsed="false">
      <c r="A18" s="0" t="s">
        <v>66</v>
      </c>
      <c r="B18" s="16" t="n">
        <f aca="false">B14*450</f>
        <v>0</v>
      </c>
    </row>
    <row r="19" customFormat="false" ht="15" hidden="false" customHeight="false" outlineLevel="0" collapsed="false">
      <c r="A19" s="0" t="s">
        <v>67</v>
      </c>
      <c r="B19" s="17" t="n">
        <f aca="false">MAX(0,(B4-B14))*450</f>
        <v>6750</v>
      </c>
    </row>
    <row r="20" customFormat="false" ht="15" hidden="false" customHeight="false" outlineLevel="0" collapsed="false">
      <c r="A20" s="0" t="s">
        <v>68</v>
      </c>
      <c r="B20" s="17" t="n">
        <f aca="false">MAX(0,(B5-B14))*450</f>
        <v>22500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2026-05-30T06:40:43Z</dcterms:created>
  <dc:creator>openpyxl</dc:creator>
  <dc:description/>
  <dc:language>en-US</dc:language>
  <cp:lastModifiedBy/>
  <dcterms:modified xsi:type="dcterms:W3CDTF">2026-05-30T06:40:44Z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